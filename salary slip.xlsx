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E21DB84-76C9-499D-B60A-FE105AB75030}" xr6:coauthVersionLast="47" xr6:coauthVersionMax="47" xr10:uidLastSave="{00000000-0000-0000-0000-000000000000}"/>
  <bookViews>
    <workbookView xWindow="-120" yWindow="-120" windowWidth="29040" windowHeight="15720" xr2:uid="{8E521F3F-2769-4DEB-9FD7-A864D670D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5" i="1" l="1"/>
  <c r="I45" i="1"/>
  <c r="F45" i="1"/>
  <c r="D45" i="1"/>
  <c r="N44" i="1"/>
  <c r="G44" i="1"/>
  <c r="E44" i="1"/>
  <c r="N43" i="1"/>
  <c r="G43" i="1"/>
  <c r="E43" i="1"/>
  <c r="E42" i="1"/>
  <c r="K42" i="1" s="1"/>
  <c r="H41" i="1"/>
  <c r="G41" i="1"/>
  <c r="E41" i="1"/>
  <c r="L41" i="1" s="1"/>
  <c r="E40" i="1"/>
  <c r="G40" i="1" s="1"/>
  <c r="N40" i="1" s="1"/>
  <c r="E39" i="1"/>
  <c r="G39" i="1" s="1"/>
  <c r="N39" i="1" s="1"/>
  <c r="E38" i="1"/>
  <c r="M38" i="1" s="1"/>
  <c r="E37" i="1"/>
  <c r="M37" i="1" s="1"/>
  <c r="E36" i="1"/>
  <c r="M36" i="1" s="1"/>
  <c r="E35" i="1"/>
  <c r="M35" i="1" s="1"/>
  <c r="N34" i="1"/>
  <c r="G34" i="1"/>
  <c r="E34" i="1"/>
  <c r="E33" i="1"/>
  <c r="L33" i="1" s="1"/>
  <c r="E32" i="1"/>
  <c r="G32" i="1" s="1"/>
  <c r="E31" i="1"/>
  <c r="M31" i="1" s="1"/>
  <c r="E30" i="1"/>
  <c r="G30" i="1" s="1"/>
  <c r="E29" i="1"/>
  <c r="M29" i="1" s="1"/>
  <c r="E28" i="1"/>
  <c r="G28" i="1" s="1"/>
  <c r="E27" i="1"/>
  <c r="L27" i="1" s="1"/>
  <c r="E26" i="1"/>
  <c r="G26" i="1" s="1"/>
  <c r="N26" i="1" s="1"/>
  <c r="N25" i="1"/>
  <c r="G25" i="1"/>
  <c r="E25" i="1"/>
  <c r="G24" i="1"/>
  <c r="N24" i="1" s="1"/>
  <c r="E24" i="1"/>
  <c r="K23" i="1"/>
  <c r="G23" i="1"/>
  <c r="N23" i="1" s="1"/>
  <c r="E23" i="1"/>
  <c r="H22" i="1"/>
  <c r="G22" i="1"/>
  <c r="N22" i="1" s="1"/>
  <c r="E22" i="1"/>
  <c r="L21" i="1"/>
  <c r="K21" i="1"/>
  <c r="G21" i="1"/>
  <c r="N21" i="1" s="1"/>
  <c r="E21" i="1"/>
  <c r="K20" i="1"/>
  <c r="N20" i="1" s="1"/>
  <c r="G20" i="1"/>
  <c r="E20" i="1"/>
  <c r="K19" i="1"/>
  <c r="N19" i="1" s="1"/>
  <c r="G19" i="1"/>
  <c r="E19" i="1"/>
  <c r="G18" i="1"/>
  <c r="N18" i="1" s="1"/>
  <c r="E18" i="1"/>
  <c r="E17" i="1"/>
  <c r="G17" i="1" s="1"/>
  <c r="N17" i="1" s="1"/>
  <c r="E16" i="1"/>
  <c r="G16" i="1" s="1"/>
  <c r="N16" i="1" s="1"/>
  <c r="N15" i="1"/>
  <c r="G15" i="1"/>
  <c r="E15" i="1"/>
  <c r="N14" i="1"/>
  <c r="O14" i="1" s="1"/>
  <c r="G14" i="1"/>
  <c r="E14" i="1"/>
  <c r="L13" i="1"/>
  <c r="N13" i="1" s="1"/>
  <c r="G13" i="1"/>
  <c r="E13" i="1"/>
  <c r="K12" i="1"/>
  <c r="N12" i="1" s="1"/>
  <c r="G12" i="1"/>
  <c r="E12" i="1"/>
  <c r="L11" i="1"/>
  <c r="E11" i="1"/>
  <c r="H11" i="1" s="1"/>
  <c r="E10" i="1"/>
  <c r="K10" i="1" s="1"/>
  <c r="E9" i="1"/>
  <c r="L9" i="1" s="1"/>
  <c r="N8" i="1"/>
  <c r="G8" i="1"/>
  <c r="E8" i="1"/>
  <c r="L7" i="1"/>
  <c r="N7" i="1" s="1"/>
  <c r="G7" i="1"/>
  <c r="E7" i="1"/>
  <c r="L6" i="1"/>
  <c r="E6" i="1"/>
  <c r="K6" i="1" s="1"/>
  <c r="E5" i="1"/>
  <c r="H5" i="1" s="1"/>
  <c r="H45" i="1" s="1"/>
  <c r="N4" i="1"/>
  <c r="G4" i="1"/>
  <c r="E4" i="1"/>
  <c r="E45" i="1" s="1"/>
  <c r="L45" i="1" l="1"/>
  <c r="N41" i="1"/>
  <c r="O41" i="1" s="1"/>
  <c r="O45" i="1" s="1"/>
  <c r="G27" i="1"/>
  <c r="N27" i="1" s="1"/>
  <c r="G29" i="1"/>
  <c r="N29" i="1" s="1"/>
  <c r="G31" i="1"/>
  <c r="N31" i="1" s="1"/>
  <c r="G33" i="1"/>
  <c r="G5" i="1"/>
  <c r="N5" i="1" s="1"/>
  <c r="G6" i="1"/>
  <c r="N6" i="1" s="1"/>
  <c r="G9" i="1"/>
  <c r="N9" i="1" s="1"/>
  <c r="G10" i="1"/>
  <c r="N10" i="1" s="1"/>
  <c r="G11" i="1"/>
  <c r="N11" i="1" s="1"/>
  <c r="M28" i="1"/>
  <c r="M30" i="1"/>
  <c r="N30" i="1" s="1"/>
  <c r="M32" i="1"/>
  <c r="N32" i="1" s="1"/>
  <c r="K33" i="1"/>
  <c r="K45" i="1" s="1"/>
  <c r="G35" i="1"/>
  <c r="N35" i="1" s="1"/>
  <c r="G36" i="1"/>
  <c r="N36" i="1" s="1"/>
  <c r="G37" i="1"/>
  <c r="N37" i="1" s="1"/>
  <c r="G38" i="1"/>
  <c r="N38" i="1" s="1"/>
  <c r="G42" i="1"/>
  <c r="N42" i="1" s="1"/>
  <c r="O42" i="1" s="1"/>
  <c r="M33" i="1"/>
  <c r="N45" i="1" l="1"/>
  <c r="G45" i="1"/>
  <c r="N33" i="1"/>
  <c r="M45" i="1"/>
  <c r="N28" i="1"/>
</calcChain>
</file>

<file path=xl/sharedStrings.xml><?xml version="1.0" encoding="utf-8"?>
<sst xmlns="http://schemas.openxmlformats.org/spreadsheetml/2006/main" count="103" uniqueCount="73">
  <si>
    <t>SALARY SHEET FOR THE MONTH OF JULY'2026</t>
  </si>
  <si>
    <t>DATE: 11.08.2026</t>
  </si>
  <si>
    <t>SALARY TO STAFF</t>
  </si>
  <si>
    <t>Sr no.</t>
  </si>
  <si>
    <t>Name (as per Bank A/c)</t>
  </si>
  <si>
    <t>DESIGNATION</t>
  </si>
  <si>
    <t>SALARY P.M.</t>
  </si>
  <si>
    <t>Salary/day</t>
  </si>
  <si>
    <t>Present Day</t>
  </si>
  <si>
    <t>EARNED SALARY</t>
  </si>
  <si>
    <t>OT</t>
  </si>
  <si>
    <t>LESS EMPL. P TAX</t>
  </si>
  <si>
    <t>ESIC - JUNE</t>
  </si>
  <si>
    <t>Late Mark</t>
  </si>
  <si>
    <t>EXTRA DEDUCTION</t>
  </si>
  <si>
    <t>SC HOLD</t>
  </si>
  <si>
    <t>REMARK</t>
  </si>
  <si>
    <t>POOJA CHURI</t>
  </si>
  <si>
    <t>ACCOUNTANT</t>
  </si>
  <si>
    <t xml:space="preserve">HARDI MEHTA </t>
  </si>
  <si>
    <t>PHYSIOTHERAPY DOCTOR</t>
  </si>
  <si>
    <t>AYUSHI MAHENDRA CHANDALIYA</t>
  </si>
  <si>
    <t xml:space="preserve">SAADIYA SHAIKH </t>
  </si>
  <si>
    <t>Krishna Dass</t>
  </si>
  <si>
    <t>CLINICAL DIRECTOR</t>
  </si>
  <si>
    <t xml:space="preserve">SHRUTI SONI </t>
  </si>
  <si>
    <t>SHIFA SAYYED</t>
  </si>
  <si>
    <t xml:space="preserve">YUKTA CHURI </t>
  </si>
  <si>
    <t>GULNISA H MAKRANI</t>
  </si>
  <si>
    <t>FRONT DESK</t>
  </si>
  <si>
    <t>CHINMAYI BAJAJ</t>
  </si>
  <si>
    <t>CONSULTING DOCTOR</t>
  </si>
  <si>
    <t>DINGORE AJAY LAXMAN</t>
  </si>
  <si>
    <t>SOCIAL MEDIA MANAGER</t>
  </si>
  <si>
    <t>RISHIKESH JADHAV</t>
  </si>
  <si>
    <t>HOUSE KEEPING</t>
  </si>
  <si>
    <t>AMAN SANDEEP KADAM</t>
  </si>
  <si>
    <t>ADMIN</t>
  </si>
  <si>
    <t>AARTI SANTOSHPANDEY</t>
  </si>
  <si>
    <t>SAHIL SHIVPUJAN SINGH</t>
  </si>
  <si>
    <t>IT DEPARTMENT</t>
  </si>
  <si>
    <t xml:space="preserve">Anika Sarkar </t>
  </si>
  <si>
    <t>BACK OFFICE CALLING</t>
  </si>
  <si>
    <t>Anjali P Dalwadi</t>
  </si>
  <si>
    <t>ZENIA  IRANI</t>
  </si>
  <si>
    <t>KEHKASHA MAKRANI</t>
  </si>
  <si>
    <t>KHUSBOO AMAR VIRA</t>
  </si>
  <si>
    <t>AAISHA KHAN/ PARVEEN YAMIN KHAN(MOTHER)</t>
  </si>
  <si>
    <t xml:space="preserve">SOCIAL MEDIA </t>
  </si>
  <si>
    <t>ASHRITA VIJAY KUMAR SHETTY</t>
  </si>
  <si>
    <t>REETIKA MAHESH GOND</t>
  </si>
  <si>
    <t>VIDISHA JAYSHEEL KOTTAN</t>
  </si>
  <si>
    <t>SPOORTHI V POOJARI</t>
  </si>
  <si>
    <t>SAURAMBHIKA SUNIL TIWARI</t>
  </si>
  <si>
    <t xml:space="preserve">
PREMA ASHOK THORAT</t>
  </si>
  <si>
    <t>MISHRA DIWAKAR RAKESH</t>
  </si>
  <si>
    <t>NIVEDITHA (HDFC BANK)</t>
  </si>
  <si>
    <t>ANJALI RAJENDRA KAMBLE</t>
  </si>
  <si>
    <t xml:space="preserve">Ishankita Sinha </t>
  </si>
  <si>
    <t>RATI TUSHAR PRABHOO</t>
  </si>
  <si>
    <t>YOGITA BALARAM SAHU</t>
  </si>
  <si>
    <t>8 days SD Hold</t>
  </si>
  <si>
    <t>SAKSHI</t>
  </si>
  <si>
    <t>KUSUM</t>
  </si>
  <si>
    <t>AJAY KUMAR JHA</t>
  </si>
  <si>
    <t>4 Day Leave</t>
  </si>
  <si>
    <t>Ashwini Ambala Patel</t>
  </si>
  <si>
    <t>HUMAN RESOURCE MANAGER</t>
  </si>
  <si>
    <t xml:space="preserve">Swamini Bhoir </t>
  </si>
  <si>
    <t xml:space="preserve">Gladys Muthu Swamy </t>
  </si>
  <si>
    <t>Krishna Katkar</t>
  </si>
  <si>
    <t>ARUN KUMAR RAJPUT</t>
  </si>
  <si>
    <t>1st to 12th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</si>
</sst>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0" fillId="0" borderId="0" xfId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 vertical="center"/>
    </xf>
    <xf numFmtId="165" fontId="5" fillId="2" borderId="3" xfId="1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164" fontId="0" fillId="2" borderId="0" xfId="0" applyNumberFormat="1" applyFill="1"/>
    <xf numFmtId="0" fontId="5" fillId="3" borderId="3" xfId="0" applyFont="1" applyFill="1" applyBorder="1" applyAlignment="1">
      <alignment horizontal="center" vertical="center"/>
    </xf>
    <xf numFmtId="43" fontId="5" fillId="3" borderId="3" xfId="1" applyFont="1" applyFill="1" applyBorder="1" applyAlignment="1">
      <alignment horizontal="center" vertical="center"/>
    </xf>
    <xf numFmtId="165" fontId="5" fillId="3" borderId="3" xfId="1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164" fontId="0" fillId="0" borderId="0" xfId="0" applyNumberFormat="1"/>
    <xf numFmtId="165" fontId="0" fillId="2" borderId="3" xfId="0" applyNumberForma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43" fontId="5" fillId="2" borderId="3" xfId="1" applyFont="1" applyFill="1" applyBorder="1" applyAlignment="1">
      <alignment horizontal="center"/>
    </xf>
    <xf numFmtId="165" fontId="5" fillId="2" borderId="3" xfId="1" applyNumberFormat="1" applyFont="1" applyFill="1" applyBorder="1" applyAlignment="1">
      <alignment horizontal="center"/>
    </xf>
    <xf numFmtId="43" fontId="0" fillId="2" borderId="3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43" fontId="6" fillId="2" borderId="3" xfId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43" fontId="8" fillId="2" borderId="3" xfId="1" applyFont="1" applyFill="1" applyBorder="1" applyAlignment="1">
      <alignment horizontal="center" vertical="center"/>
    </xf>
    <xf numFmtId="43" fontId="0" fillId="0" borderId="0" xfId="0" applyNumberFormat="1"/>
    <xf numFmtId="0" fontId="4" fillId="0" borderId="0" xfId="0" applyFont="1" applyAlignment="1">
      <alignment horizontal="center" vertical="center"/>
    </xf>
    <xf numFmtId="43" fontId="5" fillId="0" borderId="0" xfId="1" applyFont="1" applyFill="1" applyBorder="1" applyAlignment="1">
      <alignment horizontal="center" vertical="center"/>
    </xf>
    <xf numFmtId="43" fontId="0" fillId="0" borderId="0" xfId="1" applyFont="1" applyFill="1" applyBorder="1"/>
    <xf numFmtId="43" fontId="4" fillId="0" borderId="0" xfId="1" applyFont="1" applyFill="1" applyBorder="1" applyAlignment="1">
      <alignment vertical="center"/>
    </xf>
    <xf numFmtId="43" fontId="4" fillId="0" borderId="0" xfId="1" applyFont="1" applyFill="1" applyBorder="1" applyAlignment="1">
      <alignment horizontal="center" vertical="center"/>
    </xf>
    <xf numFmtId="0" fontId="9" fillId="0" borderId="0" xfId="0" applyFont="1"/>
    <xf numFmtId="43" fontId="9" fillId="0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F970C-CDD9-4D0E-B5B2-DCE57E8B4017}">
  <dimension ref="A1:U48"/>
  <sheetViews>
    <sheetView tabSelected="1" workbookViewId="0">
      <selection sqref="A1:XFD1048576"/>
    </sheetView>
  </sheetViews>
  <sheetFormatPr defaultRowHeight="15" x14ac:dyDescent="0.25"/>
  <cols>
    <col min="1" max="1" width="7.85546875" bestFit="1" customWidth="1"/>
    <col min="2" max="2" width="43.42578125" customWidth="1"/>
    <col min="3" max="3" width="29.7109375" bestFit="1" customWidth="1"/>
    <col min="4" max="4" width="15.140625" customWidth="1"/>
    <col min="5" max="5" width="13.42578125" customWidth="1"/>
    <col min="6" max="6" width="12.7109375" bestFit="1" customWidth="1"/>
    <col min="7" max="7" width="17.140625" customWidth="1"/>
    <col min="8" max="8" width="12" style="3" customWidth="1"/>
    <col min="9" max="9" width="12.5703125" customWidth="1"/>
    <col min="10" max="10" width="11.85546875" customWidth="1"/>
    <col min="11" max="11" width="12.42578125" bestFit="1" customWidth="1"/>
    <col min="12" max="12" width="16.5703125" customWidth="1"/>
    <col min="13" max="13" width="12.42578125" bestFit="1" customWidth="1"/>
    <col min="14" max="14" width="18.5703125" customWidth="1"/>
    <col min="15" max="15" width="34" customWidth="1"/>
    <col min="16" max="16" width="39.85546875" customWidth="1"/>
    <col min="17" max="18" width="52.28515625" customWidth="1"/>
    <col min="19" max="19" width="24.85546875" customWidth="1"/>
    <col min="20" max="20" width="32.5703125" style="4" customWidth="1"/>
    <col min="21" max="21" width="10" bestFit="1" customWidth="1"/>
  </cols>
  <sheetData>
    <row r="1" spans="1:21" ht="15" customHeight="1" thickBot="1" x14ac:dyDescent="0.3">
      <c r="B1" s="1" t="s">
        <v>0</v>
      </c>
      <c r="C1" s="2"/>
      <c r="D1" s="1" t="s">
        <v>1</v>
      </c>
      <c r="P1" s="4"/>
    </row>
    <row r="2" spans="1:21" ht="15" customHeight="1" thickBot="1" x14ac:dyDescent="0.3">
      <c r="B2" s="5" t="s">
        <v>2</v>
      </c>
      <c r="C2" s="4"/>
      <c r="L2" s="6"/>
      <c r="P2" s="4"/>
    </row>
    <row r="3" spans="1:21" ht="40.15" customHeight="1" x14ac:dyDescent="0.25">
      <c r="A3" s="7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8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9</v>
      </c>
      <c r="O3" s="9" t="s">
        <v>16</v>
      </c>
      <c r="P3" s="10"/>
      <c r="Q3" s="10"/>
      <c r="R3" s="10"/>
      <c r="S3" s="10"/>
      <c r="T3" s="10"/>
    </row>
    <row r="4" spans="1:21" ht="13.5" customHeight="1" x14ac:dyDescent="0.25">
      <c r="A4" s="11">
        <v>1</v>
      </c>
      <c r="B4" s="12" t="s">
        <v>17</v>
      </c>
      <c r="C4" s="13" t="s">
        <v>18</v>
      </c>
      <c r="D4" s="14">
        <v>40000</v>
      </c>
      <c r="E4" s="14">
        <f t="shared" ref="E4:E44" si="0">D4/30</f>
        <v>1333.3333333333333</v>
      </c>
      <c r="F4" s="14">
        <v>30</v>
      </c>
      <c r="G4" s="14">
        <f t="shared" ref="G4:G44" si="1">+E4*F4</f>
        <v>40000</v>
      </c>
      <c r="H4" s="15">
        <v>0</v>
      </c>
      <c r="I4" s="15">
        <v>200</v>
      </c>
      <c r="J4" s="15">
        <v>0</v>
      </c>
      <c r="K4" s="15">
        <v>0</v>
      </c>
      <c r="L4" s="15">
        <v>0</v>
      </c>
      <c r="M4" s="15">
        <v>0</v>
      </c>
      <c r="N4" s="15">
        <f>+G4+H4-I4-J4-K4-L4-M4</f>
        <v>39800</v>
      </c>
      <c r="O4" s="16"/>
      <c r="P4" s="4"/>
      <c r="Q4" s="4"/>
      <c r="R4" s="4"/>
      <c r="S4" s="4"/>
    </row>
    <row r="5" spans="1:21" s="19" customFormat="1" ht="15.75" x14ac:dyDescent="0.25">
      <c r="A5" s="17">
        <v>2</v>
      </c>
      <c r="B5" s="13" t="s">
        <v>19</v>
      </c>
      <c r="C5" s="13" t="s">
        <v>20</v>
      </c>
      <c r="D5" s="14">
        <v>45000</v>
      </c>
      <c r="E5" s="14">
        <f t="shared" si="0"/>
        <v>1500</v>
      </c>
      <c r="F5" s="14">
        <v>26.5</v>
      </c>
      <c r="G5" s="14">
        <f t="shared" si="1"/>
        <v>39750</v>
      </c>
      <c r="H5" s="15">
        <f>+(E5/9)*5</f>
        <v>833.33333333333326</v>
      </c>
      <c r="I5" s="15">
        <v>200</v>
      </c>
      <c r="J5" s="15">
        <v>0</v>
      </c>
      <c r="K5" s="15">
        <v>0</v>
      </c>
      <c r="L5" s="15">
        <v>0</v>
      </c>
      <c r="M5" s="15">
        <v>0</v>
      </c>
      <c r="N5" s="15">
        <f t="shared" ref="N5:N43" si="2">+G5+H5-I5-J5-K5-L5-M5</f>
        <v>40383.333333333336</v>
      </c>
      <c r="O5" s="16"/>
      <c r="P5" s="18"/>
      <c r="Q5" s="18"/>
      <c r="R5" s="18"/>
      <c r="S5" s="18"/>
      <c r="T5" s="18"/>
    </row>
    <row r="6" spans="1:21" s="19" customFormat="1" ht="15" customHeight="1" x14ac:dyDescent="0.25">
      <c r="A6" s="11">
        <v>3</v>
      </c>
      <c r="B6" s="12" t="s">
        <v>21</v>
      </c>
      <c r="C6" s="13" t="s">
        <v>20</v>
      </c>
      <c r="D6" s="14">
        <v>30000</v>
      </c>
      <c r="E6" s="14">
        <f t="shared" si="0"/>
        <v>1000</v>
      </c>
      <c r="F6" s="14">
        <v>22.5</v>
      </c>
      <c r="G6" s="14">
        <f t="shared" si="1"/>
        <v>22500</v>
      </c>
      <c r="H6" s="15">
        <v>0</v>
      </c>
      <c r="I6" s="15">
        <v>0</v>
      </c>
      <c r="J6" s="15">
        <v>0</v>
      </c>
      <c r="K6" s="15">
        <f>+(E6/9)*13</f>
        <v>1444.4444444444446</v>
      </c>
      <c r="L6" s="15">
        <f>+E6*2</f>
        <v>2000</v>
      </c>
      <c r="M6" s="15">
        <v>0</v>
      </c>
      <c r="N6" s="15">
        <f t="shared" si="2"/>
        <v>19055.555555555555</v>
      </c>
      <c r="O6" s="16"/>
      <c r="P6" s="18"/>
      <c r="Q6" s="18"/>
      <c r="R6" s="18"/>
      <c r="S6" s="18"/>
      <c r="T6" s="18"/>
      <c r="U6" s="20"/>
    </row>
    <row r="7" spans="1:21" s="19" customFormat="1" ht="15.75" x14ac:dyDescent="0.25">
      <c r="A7" s="17">
        <v>4</v>
      </c>
      <c r="B7" s="12" t="s">
        <v>22</v>
      </c>
      <c r="C7" s="13" t="s">
        <v>20</v>
      </c>
      <c r="D7" s="14">
        <v>25000</v>
      </c>
      <c r="E7" s="14">
        <f t="shared" si="0"/>
        <v>833.33333333333337</v>
      </c>
      <c r="F7" s="14">
        <v>7</v>
      </c>
      <c r="G7" s="14">
        <f t="shared" si="1"/>
        <v>5833.3333333333339</v>
      </c>
      <c r="H7" s="15">
        <v>0</v>
      </c>
      <c r="I7" s="15">
        <v>0</v>
      </c>
      <c r="J7" s="15">
        <v>0</v>
      </c>
      <c r="K7" s="15">
        <v>0</v>
      </c>
      <c r="L7" s="15">
        <f>+E7*1</f>
        <v>833.33333333333337</v>
      </c>
      <c r="M7" s="15">
        <v>0</v>
      </c>
      <c r="N7" s="15">
        <f t="shared" si="2"/>
        <v>5000.0000000000009</v>
      </c>
      <c r="O7" s="16"/>
      <c r="P7" s="18"/>
      <c r="Q7" s="18"/>
      <c r="R7" s="18"/>
      <c r="S7" s="18"/>
      <c r="T7" s="18"/>
      <c r="U7" s="20"/>
    </row>
    <row r="8" spans="1:21" s="19" customFormat="1" ht="15.75" x14ac:dyDescent="0.25">
      <c r="A8" s="11">
        <v>5</v>
      </c>
      <c r="B8" s="13" t="s">
        <v>23</v>
      </c>
      <c r="C8" s="13" t="s">
        <v>24</v>
      </c>
      <c r="D8" s="14">
        <v>125000</v>
      </c>
      <c r="E8" s="14">
        <f t="shared" si="0"/>
        <v>4166.666666666667</v>
      </c>
      <c r="F8" s="14">
        <v>16</v>
      </c>
      <c r="G8" s="14">
        <f t="shared" si="1"/>
        <v>66666.666666666672</v>
      </c>
      <c r="H8" s="15">
        <v>0</v>
      </c>
      <c r="I8" s="15">
        <v>200</v>
      </c>
      <c r="J8" s="15">
        <v>0</v>
      </c>
      <c r="K8" s="15">
        <v>0</v>
      </c>
      <c r="L8" s="15">
        <v>7475</v>
      </c>
      <c r="M8" s="15">
        <v>0</v>
      </c>
      <c r="N8" s="15">
        <f t="shared" si="2"/>
        <v>58991.666666666672</v>
      </c>
      <c r="O8" s="16"/>
      <c r="P8" s="18"/>
      <c r="Q8" s="18"/>
      <c r="R8" s="18"/>
      <c r="S8" s="20"/>
    </row>
    <row r="9" spans="1:21" ht="15" customHeight="1" x14ac:dyDescent="0.25">
      <c r="A9" s="17">
        <v>6</v>
      </c>
      <c r="B9" s="21" t="s">
        <v>25</v>
      </c>
      <c r="C9" s="21" t="s">
        <v>20</v>
      </c>
      <c r="D9" s="22">
        <v>38000</v>
      </c>
      <c r="E9" s="22">
        <f t="shared" si="0"/>
        <v>1266.6666666666667</v>
      </c>
      <c r="F9" s="22">
        <v>28</v>
      </c>
      <c r="G9" s="22">
        <f t="shared" si="1"/>
        <v>35466.666666666672</v>
      </c>
      <c r="H9" s="23">
        <v>0</v>
      </c>
      <c r="I9" s="23">
        <v>200</v>
      </c>
      <c r="J9" s="23">
        <v>0</v>
      </c>
      <c r="K9" s="23">
        <v>0</v>
      </c>
      <c r="L9" s="23">
        <f>+E9*1</f>
        <v>1266.6666666666667</v>
      </c>
      <c r="M9" s="23">
        <v>0</v>
      </c>
      <c r="N9" s="23">
        <f t="shared" si="2"/>
        <v>34000.000000000007</v>
      </c>
      <c r="O9" s="24"/>
      <c r="P9" s="4"/>
      <c r="Q9" s="4"/>
      <c r="R9" s="4"/>
      <c r="S9" s="4"/>
      <c r="U9" s="25"/>
    </row>
    <row r="10" spans="1:21" s="19" customFormat="1" ht="15" customHeight="1" x14ac:dyDescent="0.25">
      <c r="A10" s="11">
        <v>7</v>
      </c>
      <c r="B10" s="13" t="s">
        <v>26</v>
      </c>
      <c r="C10" s="13" t="s">
        <v>20</v>
      </c>
      <c r="D10" s="14">
        <v>30000</v>
      </c>
      <c r="E10" s="14">
        <f t="shared" si="0"/>
        <v>1000</v>
      </c>
      <c r="F10" s="14">
        <v>27</v>
      </c>
      <c r="G10" s="14">
        <f t="shared" si="1"/>
        <v>27000</v>
      </c>
      <c r="H10" s="15">
        <v>0</v>
      </c>
      <c r="I10" s="15">
        <v>200</v>
      </c>
      <c r="J10" s="15">
        <v>0</v>
      </c>
      <c r="K10" s="15">
        <f>+(E10/9)*10</f>
        <v>1111.1111111111111</v>
      </c>
      <c r="L10" s="15">
        <v>0</v>
      </c>
      <c r="M10" s="15">
        <v>0</v>
      </c>
      <c r="N10" s="15">
        <f t="shared" si="2"/>
        <v>25688.888888888891</v>
      </c>
      <c r="O10" s="16"/>
      <c r="P10" s="18"/>
      <c r="Q10" s="18"/>
      <c r="R10" s="18"/>
      <c r="S10" s="18"/>
      <c r="T10" s="18"/>
      <c r="U10" s="20"/>
    </row>
    <row r="11" spans="1:21" ht="15.75" x14ac:dyDescent="0.25">
      <c r="A11" s="17">
        <v>8</v>
      </c>
      <c r="B11" s="21" t="s">
        <v>27</v>
      </c>
      <c r="C11" s="21" t="s">
        <v>20</v>
      </c>
      <c r="D11" s="22">
        <v>40000</v>
      </c>
      <c r="E11" s="22">
        <f t="shared" si="0"/>
        <v>1333.3333333333333</v>
      </c>
      <c r="F11" s="22">
        <v>23</v>
      </c>
      <c r="G11" s="22">
        <f t="shared" si="1"/>
        <v>30666.666666666664</v>
      </c>
      <c r="H11" s="23">
        <f>+(E11/9)*3</f>
        <v>444.44444444444446</v>
      </c>
      <c r="I11" s="23">
        <v>200</v>
      </c>
      <c r="J11" s="23">
        <v>0</v>
      </c>
      <c r="K11" s="23">
        <v>0</v>
      </c>
      <c r="L11" s="23">
        <f>+E11*6</f>
        <v>8000</v>
      </c>
      <c r="M11" s="23">
        <v>0</v>
      </c>
      <c r="N11" s="23">
        <f t="shared" si="2"/>
        <v>22911.111111111109</v>
      </c>
      <c r="O11" s="24"/>
      <c r="P11" s="4"/>
      <c r="Q11" s="4"/>
      <c r="R11" s="4"/>
      <c r="S11" s="25"/>
      <c r="T11"/>
    </row>
    <row r="12" spans="1:21" s="19" customFormat="1" ht="15.75" x14ac:dyDescent="0.25">
      <c r="A12" s="11">
        <v>9</v>
      </c>
      <c r="B12" s="13" t="s">
        <v>28</v>
      </c>
      <c r="C12" s="13" t="s">
        <v>29</v>
      </c>
      <c r="D12" s="14">
        <v>35000</v>
      </c>
      <c r="E12" s="14">
        <f t="shared" si="0"/>
        <v>1166.6666666666667</v>
      </c>
      <c r="F12" s="14">
        <v>30</v>
      </c>
      <c r="G12" s="14">
        <f t="shared" si="1"/>
        <v>35000</v>
      </c>
      <c r="H12" s="15">
        <v>0</v>
      </c>
      <c r="I12" s="15">
        <v>200</v>
      </c>
      <c r="J12" s="15">
        <v>0</v>
      </c>
      <c r="K12" s="15">
        <f>+(E12/9)*14</f>
        <v>1814.814814814815</v>
      </c>
      <c r="L12" s="15">
        <v>0</v>
      </c>
      <c r="M12" s="15">
        <v>0</v>
      </c>
      <c r="N12" s="15">
        <f>+G12+H12-I12-J12-K12-L12-M12</f>
        <v>32985.185185185182</v>
      </c>
      <c r="O12" s="26"/>
      <c r="P12" s="18"/>
      <c r="Q12" s="18"/>
      <c r="R12" s="18"/>
      <c r="S12" s="18"/>
      <c r="T12" s="18"/>
      <c r="U12" s="20"/>
    </row>
    <row r="13" spans="1:21" s="19" customFormat="1" ht="15.75" x14ac:dyDescent="0.25">
      <c r="A13" s="17">
        <v>10</v>
      </c>
      <c r="B13" s="13" t="s">
        <v>30</v>
      </c>
      <c r="C13" s="13" t="s">
        <v>31</v>
      </c>
      <c r="D13" s="14">
        <v>55000</v>
      </c>
      <c r="E13" s="14">
        <f t="shared" si="0"/>
        <v>1833.3333333333333</v>
      </c>
      <c r="F13" s="14">
        <v>27</v>
      </c>
      <c r="G13" s="14">
        <f t="shared" si="1"/>
        <v>49500</v>
      </c>
      <c r="H13" s="15">
        <v>0</v>
      </c>
      <c r="I13" s="15">
        <v>200</v>
      </c>
      <c r="J13" s="15">
        <v>0</v>
      </c>
      <c r="K13" s="15">
        <v>0</v>
      </c>
      <c r="L13" s="15">
        <f>+E13*1</f>
        <v>1833.3333333333333</v>
      </c>
      <c r="M13" s="15">
        <v>0</v>
      </c>
      <c r="N13" s="15">
        <f t="shared" si="2"/>
        <v>47466.666666666664</v>
      </c>
      <c r="O13" s="16"/>
      <c r="Q13" s="18"/>
      <c r="R13" s="18"/>
      <c r="S13" s="18"/>
      <c r="T13" s="18"/>
      <c r="U13" s="20"/>
    </row>
    <row r="14" spans="1:21" s="19" customFormat="1" ht="15" customHeight="1" x14ac:dyDescent="0.25">
      <c r="A14" s="11">
        <v>11</v>
      </c>
      <c r="B14" s="13" t="s">
        <v>32</v>
      </c>
      <c r="C14" s="13" t="s">
        <v>33</v>
      </c>
      <c r="D14" s="14">
        <v>35000</v>
      </c>
      <c r="E14" s="14">
        <f t="shared" si="0"/>
        <v>1166.6666666666667</v>
      </c>
      <c r="F14" s="14">
        <v>29.5</v>
      </c>
      <c r="G14" s="14">
        <f t="shared" si="1"/>
        <v>34416.666666666672</v>
      </c>
      <c r="H14" s="15">
        <v>518</v>
      </c>
      <c r="I14" s="15">
        <v>200</v>
      </c>
      <c r="J14" s="15">
        <v>0</v>
      </c>
      <c r="K14" s="15">
        <v>0</v>
      </c>
      <c r="L14" s="15">
        <v>0</v>
      </c>
      <c r="M14" s="15">
        <v>0</v>
      </c>
      <c r="N14" s="15">
        <f t="shared" si="2"/>
        <v>34734.666666666672</v>
      </c>
      <c r="O14" s="26">
        <f>+N14+200</f>
        <v>34934.666666666672</v>
      </c>
      <c r="P14" s="18"/>
      <c r="Q14" s="18"/>
      <c r="R14" s="18"/>
      <c r="S14" s="18"/>
      <c r="T14" s="18"/>
      <c r="U14" s="20"/>
    </row>
    <row r="15" spans="1:21" s="19" customFormat="1" ht="15" customHeight="1" x14ac:dyDescent="0.25">
      <c r="A15" s="17">
        <v>12</v>
      </c>
      <c r="B15" s="13" t="s">
        <v>34</v>
      </c>
      <c r="C15" s="13" t="s">
        <v>35</v>
      </c>
      <c r="D15" s="14">
        <v>20000</v>
      </c>
      <c r="E15" s="14">
        <f t="shared" si="0"/>
        <v>666.66666666666663</v>
      </c>
      <c r="F15" s="14">
        <v>24</v>
      </c>
      <c r="G15" s="14">
        <f t="shared" si="1"/>
        <v>16000</v>
      </c>
      <c r="H15" s="15">
        <v>0</v>
      </c>
      <c r="I15" s="15">
        <v>200</v>
      </c>
      <c r="J15" s="15">
        <v>110</v>
      </c>
      <c r="K15" s="15">
        <v>0</v>
      </c>
      <c r="L15" s="15">
        <v>1700</v>
      </c>
      <c r="M15" s="15">
        <v>0</v>
      </c>
      <c r="N15" s="15">
        <f t="shared" si="2"/>
        <v>13990</v>
      </c>
      <c r="O15" s="16"/>
      <c r="P15" s="18"/>
      <c r="Q15" s="18"/>
      <c r="R15" s="18"/>
      <c r="S15" s="18"/>
      <c r="T15" s="18"/>
      <c r="U15" s="20"/>
    </row>
    <row r="16" spans="1:21" s="19" customFormat="1" ht="15.75" x14ac:dyDescent="0.25">
      <c r="A16" s="11">
        <v>13</v>
      </c>
      <c r="B16" s="12" t="s">
        <v>36</v>
      </c>
      <c r="C16" s="13" t="s">
        <v>37</v>
      </c>
      <c r="D16" s="14">
        <v>15000</v>
      </c>
      <c r="E16" s="14">
        <f t="shared" si="0"/>
        <v>500</v>
      </c>
      <c r="F16" s="14">
        <v>29.5</v>
      </c>
      <c r="G16" s="14">
        <f t="shared" si="1"/>
        <v>14750</v>
      </c>
      <c r="H16" s="15">
        <v>166</v>
      </c>
      <c r="I16" s="15">
        <v>200</v>
      </c>
      <c r="J16" s="15">
        <v>109</v>
      </c>
      <c r="K16" s="15">
        <v>0</v>
      </c>
      <c r="L16" s="15">
        <v>0</v>
      </c>
      <c r="M16" s="15">
        <v>0</v>
      </c>
      <c r="N16" s="15">
        <f t="shared" si="2"/>
        <v>14607</v>
      </c>
      <c r="O16" s="16"/>
      <c r="P16" s="18"/>
      <c r="Q16" s="18"/>
      <c r="R16" s="18"/>
      <c r="S16" s="18"/>
      <c r="T16" s="18"/>
      <c r="U16" s="20"/>
    </row>
    <row r="17" spans="1:21" s="19" customFormat="1" ht="15.75" x14ac:dyDescent="0.25">
      <c r="A17" s="17">
        <v>14</v>
      </c>
      <c r="B17" s="13" t="s">
        <v>38</v>
      </c>
      <c r="C17" s="13" t="s">
        <v>29</v>
      </c>
      <c r="D17" s="14">
        <v>35000</v>
      </c>
      <c r="E17" s="14">
        <f t="shared" si="0"/>
        <v>1166.6666666666667</v>
      </c>
      <c r="F17" s="14">
        <v>25</v>
      </c>
      <c r="G17" s="14">
        <f t="shared" si="1"/>
        <v>29166.666666666668</v>
      </c>
      <c r="H17" s="15">
        <v>0</v>
      </c>
      <c r="I17" s="15">
        <v>200</v>
      </c>
      <c r="J17" s="15">
        <v>0</v>
      </c>
      <c r="K17" s="15">
        <v>0</v>
      </c>
      <c r="L17" s="15">
        <v>0</v>
      </c>
      <c r="M17" s="15">
        <v>0</v>
      </c>
      <c r="N17" s="15">
        <f t="shared" si="2"/>
        <v>28966.666666666668</v>
      </c>
      <c r="O17" s="16"/>
      <c r="P17" s="18"/>
      <c r="Q17" s="18"/>
      <c r="R17" s="18"/>
      <c r="S17" s="18"/>
      <c r="T17" s="18"/>
      <c r="U17" s="20"/>
    </row>
    <row r="18" spans="1:21" s="19" customFormat="1" ht="15.75" x14ac:dyDescent="0.25">
      <c r="A18" s="11">
        <v>15</v>
      </c>
      <c r="B18" s="13" t="s">
        <v>39</v>
      </c>
      <c r="C18" s="13" t="s">
        <v>40</v>
      </c>
      <c r="D18" s="14">
        <v>25000</v>
      </c>
      <c r="E18" s="14">
        <f t="shared" si="0"/>
        <v>833.33333333333337</v>
      </c>
      <c r="F18" s="14">
        <v>27</v>
      </c>
      <c r="G18" s="14">
        <f t="shared" si="1"/>
        <v>22500</v>
      </c>
      <c r="H18" s="15">
        <v>0</v>
      </c>
      <c r="I18" s="15">
        <v>200</v>
      </c>
      <c r="J18" s="15">
        <v>0</v>
      </c>
      <c r="K18" s="15">
        <v>0</v>
      </c>
      <c r="L18" s="15">
        <v>0</v>
      </c>
      <c r="M18" s="15">
        <v>0</v>
      </c>
      <c r="N18" s="15">
        <f t="shared" si="2"/>
        <v>22300</v>
      </c>
      <c r="O18" s="16"/>
      <c r="P18" s="18"/>
      <c r="Q18" s="18"/>
      <c r="R18" s="18"/>
      <c r="S18" s="18"/>
      <c r="T18" s="18"/>
      <c r="U18" s="20"/>
    </row>
    <row r="19" spans="1:21" s="19" customFormat="1" ht="15.75" x14ac:dyDescent="0.25">
      <c r="A19" s="17">
        <v>16</v>
      </c>
      <c r="B19" s="13" t="s">
        <v>41</v>
      </c>
      <c r="C19" s="13" t="s">
        <v>42</v>
      </c>
      <c r="D19" s="14">
        <v>28000</v>
      </c>
      <c r="E19" s="14">
        <f t="shared" si="0"/>
        <v>933.33333333333337</v>
      </c>
      <c r="F19" s="14">
        <v>26</v>
      </c>
      <c r="G19" s="14">
        <f t="shared" si="1"/>
        <v>24266.666666666668</v>
      </c>
      <c r="H19" s="15">
        <v>0</v>
      </c>
      <c r="I19" s="15">
        <v>0</v>
      </c>
      <c r="J19" s="15">
        <v>0</v>
      </c>
      <c r="K19" s="15">
        <f>+(E19/9)*12</f>
        <v>1244.4444444444446</v>
      </c>
      <c r="L19" s="15">
        <v>0</v>
      </c>
      <c r="M19" s="15">
        <v>0</v>
      </c>
      <c r="N19" s="15">
        <f t="shared" si="2"/>
        <v>23022.222222222223</v>
      </c>
      <c r="O19" s="16"/>
      <c r="P19" s="18"/>
      <c r="Q19" s="18"/>
      <c r="R19" s="18"/>
      <c r="S19" s="18"/>
      <c r="T19" s="18"/>
    </row>
    <row r="20" spans="1:21" s="19" customFormat="1" ht="15.75" x14ac:dyDescent="0.25">
      <c r="A20" s="11">
        <v>17</v>
      </c>
      <c r="B20" s="13" t="s">
        <v>43</v>
      </c>
      <c r="C20" s="13" t="s">
        <v>20</v>
      </c>
      <c r="D20" s="14">
        <v>40000</v>
      </c>
      <c r="E20" s="14">
        <f t="shared" si="0"/>
        <v>1333.3333333333333</v>
      </c>
      <c r="F20" s="14">
        <v>30</v>
      </c>
      <c r="G20" s="14">
        <f t="shared" si="1"/>
        <v>40000</v>
      </c>
      <c r="H20" s="15">
        <v>0</v>
      </c>
      <c r="I20" s="15">
        <v>200</v>
      </c>
      <c r="J20" s="15">
        <v>0</v>
      </c>
      <c r="K20" s="15">
        <f>+(E20/9)*7</f>
        <v>1037.037037037037</v>
      </c>
      <c r="L20" s="15">
        <v>0</v>
      </c>
      <c r="M20" s="15">
        <v>0</v>
      </c>
      <c r="N20" s="15">
        <f t="shared" si="2"/>
        <v>38762.962962962964</v>
      </c>
      <c r="O20" s="16"/>
      <c r="P20" s="18"/>
      <c r="Q20" s="18"/>
      <c r="R20" s="18"/>
      <c r="S20" s="18"/>
      <c r="T20" s="18"/>
    </row>
    <row r="21" spans="1:21" s="19" customFormat="1" ht="15.75" x14ac:dyDescent="0.25">
      <c r="A21" s="17">
        <v>18</v>
      </c>
      <c r="B21" s="13" t="s">
        <v>44</v>
      </c>
      <c r="C21" s="13" t="s">
        <v>20</v>
      </c>
      <c r="D21" s="14">
        <v>50000</v>
      </c>
      <c r="E21" s="14">
        <f t="shared" si="0"/>
        <v>1666.6666666666667</v>
      </c>
      <c r="F21" s="14">
        <v>28</v>
      </c>
      <c r="G21" s="14">
        <f t="shared" si="1"/>
        <v>46666.666666666672</v>
      </c>
      <c r="H21" s="15">
        <v>0</v>
      </c>
      <c r="I21" s="15">
        <v>200</v>
      </c>
      <c r="J21" s="15">
        <v>0</v>
      </c>
      <c r="K21" s="15">
        <f>+(E21/9)*16</f>
        <v>2962.962962962963</v>
      </c>
      <c r="L21" s="15">
        <f>+E21*1</f>
        <v>1666.6666666666667</v>
      </c>
      <c r="M21" s="15">
        <v>0</v>
      </c>
      <c r="N21" s="15">
        <f t="shared" si="2"/>
        <v>41837.037037037044</v>
      </c>
      <c r="O21" s="26"/>
      <c r="P21" s="18"/>
      <c r="Q21" s="18"/>
      <c r="R21" s="18"/>
      <c r="S21" s="18"/>
      <c r="T21" s="18"/>
    </row>
    <row r="22" spans="1:21" s="19" customFormat="1" ht="15.75" x14ac:dyDescent="0.25">
      <c r="A22" s="11">
        <v>19</v>
      </c>
      <c r="B22" s="13" t="s">
        <v>45</v>
      </c>
      <c r="C22" s="13" t="s">
        <v>29</v>
      </c>
      <c r="D22" s="14">
        <v>25000</v>
      </c>
      <c r="E22" s="14">
        <f t="shared" si="0"/>
        <v>833.33333333333337</v>
      </c>
      <c r="F22" s="14">
        <v>28</v>
      </c>
      <c r="G22" s="14">
        <f t="shared" si="1"/>
        <v>23333.333333333336</v>
      </c>
      <c r="H22" s="15">
        <f>+(E22/9)*12</f>
        <v>1111.1111111111111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f t="shared" si="2"/>
        <v>24444.444444444445</v>
      </c>
      <c r="O22" s="16"/>
      <c r="P22" s="18"/>
      <c r="Q22" s="18"/>
      <c r="R22" s="18"/>
      <c r="S22" s="18"/>
      <c r="T22" s="18"/>
    </row>
    <row r="23" spans="1:21" s="19" customFormat="1" ht="15.75" x14ac:dyDescent="0.25">
      <c r="A23" s="17">
        <v>20</v>
      </c>
      <c r="B23" s="13" t="s">
        <v>46</v>
      </c>
      <c r="C23" s="13" t="s">
        <v>31</v>
      </c>
      <c r="D23" s="14">
        <v>75000</v>
      </c>
      <c r="E23" s="14">
        <f t="shared" si="0"/>
        <v>2500</v>
      </c>
      <c r="F23" s="14">
        <v>26</v>
      </c>
      <c r="G23" s="14">
        <f t="shared" si="1"/>
        <v>65000</v>
      </c>
      <c r="H23" s="15">
        <v>0</v>
      </c>
      <c r="I23" s="15">
        <v>200</v>
      </c>
      <c r="J23" s="15">
        <v>0</v>
      </c>
      <c r="K23" s="15">
        <f t="shared" ref="K23" si="3">+(E23/9)*7</f>
        <v>1944.4444444444443</v>
      </c>
      <c r="L23" s="15">
        <v>0</v>
      </c>
      <c r="M23" s="15">
        <v>0</v>
      </c>
      <c r="N23" s="15">
        <f t="shared" si="2"/>
        <v>62855.555555555555</v>
      </c>
      <c r="O23" s="26">
        <v>0</v>
      </c>
      <c r="P23" s="18"/>
      <c r="Q23" s="18"/>
      <c r="R23" s="18"/>
      <c r="S23" s="18"/>
      <c r="T23" s="18"/>
    </row>
    <row r="24" spans="1:21" s="19" customFormat="1" ht="15.75" x14ac:dyDescent="0.25">
      <c r="A24" s="11">
        <v>21</v>
      </c>
      <c r="B24" s="13" t="s">
        <v>47</v>
      </c>
      <c r="C24" s="13" t="s">
        <v>48</v>
      </c>
      <c r="D24" s="14">
        <v>35000</v>
      </c>
      <c r="E24" s="14">
        <f t="shared" si="0"/>
        <v>1166.6666666666667</v>
      </c>
      <c r="F24" s="14">
        <v>26</v>
      </c>
      <c r="G24" s="14">
        <f t="shared" si="1"/>
        <v>30333.333333333336</v>
      </c>
      <c r="H24" s="15">
        <v>0</v>
      </c>
      <c r="I24" s="15">
        <v>200</v>
      </c>
      <c r="J24" s="15">
        <v>0</v>
      </c>
      <c r="K24" s="15">
        <v>0</v>
      </c>
      <c r="L24" s="15">
        <v>0</v>
      </c>
      <c r="M24" s="15">
        <v>0</v>
      </c>
      <c r="N24" s="15">
        <f t="shared" si="2"/>
        <v>30133.333333333336</v>
      </c>
      <c r="O24" s="16"/>
      <c r="P24" s="18"/>
      <c r="Q24" s="18"/>
      <c r="R24" s="18"/>
      <c r="S24" s="18"/>
      <c r="T24" s="18"/>
    </row>
    <row r="25" spans="1:21" s="19" customFormat="1" ht="15.75" x14ac:dyDescent="0.25">
      <c r="A25" s="17">
        <v>22</v>
      </c>
      <c r="B25" s="12" t="s">
        <v>49</v>
      </c>
      <c r="C25" s="13" t="s">
        <v>20</v>
      </c>
      <c r="D25" s="14">
        <v>25000</v>
      </c>
      <c r="E25" s="14">
        <f t="shared" si="0"/>
        <v>833.33333333333337</v>
      </c>
      <c r="F25" s="14">
        <v>29.5</v>
      </c>
      <c r="G25" s="14">
        <f t="shared" si="1"/>
        <v>24583.333333333336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f t="shared" si="2"/>
        <v>24583.333333333336</v>
      </c>
      <c r="O25" s="16"/>
      <c r="P25" s="18"/>
      <c r="Q25" s="18"/>
      <c r="R25" s="18"/>
      <c r="S25" s="18"/>
      <c r="T25" s="18"/>
    </row>
    <row r="26" spans="1:21" s="19" customFormat="1" ht="15.75" x14ac:dyDescent="0.25">
      <c r="A26" s="11">
        <v>23</v>
      </c>
      <c r="B26" s="13" t="s">
        <v>50</v>
      </c>
      <c r="C26" s="13" t="s">
        <v>42</v>
      </c>
      <c r="D26" s="14">
        <v>25000</v>
      </c>
      <c r="E26" s="14">
        <f t="shared" si="0"/>
        <v>833.33333333333337</v>
      </c>
      <c r="F26" s="14">
        <v>26.5</v>
      </c>
      <c r="G26" s="14">
        <f t="shared" si="1"/>
        <v>22083.333333333336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f t="shared" si="2"/>
        <v>22083.333333333336</v>
      </c>
      <c r="O26" s="16"/>
      <c r="P26" s="18"/>
      <c r="Q26" s="18"/>
      <c r="R26" s="18"/>
      <c r="S26" s="18"/>
      <c r="T26" s="18"/>
    </row>
    <row r="27" spans="1:21" s="18" customFormat="1" ht="15.75" x14ac:dyDescent="0.25">
      <c r="A27" s="17">
        <v>24</v>
      </c>
      <c r="B27" s="13" t="s">
        <v>51</v>
      </c>
      <c r="C27" s="13" t="s">
        <v>20</v>
      </c>
      <c r="D27" s="14">
        <v>45000</v>
      </c>
      <c r="E27" s="14">
        <f t="shared" si="0"/>
        <v>1500</v>
      </c>
      <c r="F27" s="14">
        <v>27</v>
      </c>
      <c r="G27" s="14">
        <f t="shared" si="1"/>
        <v>40500</v>
      </c>
      <c r="H27" s="15">
        <v>666</v>
      </c>
      <c r="I27" s="15">
        <v>200</v>
      </c>
      <c r="J27" s="15">
        <v>0</v>
      </c>
      <c r="K27" s="15">
        <v>0</v>
      </c>
      <c r="L27" s="15">
        <f>+E27*1</f>
        <v>1500</v>
      </c>
      <c r="M27" s="15">
        <v>0</v>
      </c>
      <c r="N27" s="15">
        <f t="shared" si="2"/>
        <v>39466</v>
      </c>
      <c r="O27" s="26"/>
    </row>
    <row r="28" spans="1:21" s="19" customFormat="1" ht="15.75" x14ac:dyDescent="0.25">
      <c r="A28" s="11">
        <v>25</v>
      </c>
      <c r="B28" s="13" t="s">
        <v>52</v>
      </c>
      <c r="C28" s="13" t="s">
        <v>20</v>
      </c>
      <c r="D28" s="14">
        <v>35000</v>
      </c>
      <c r="E28" s="14">
        <f t="shared" si="0"/>
        <v>1166.6666666666667</v>
      </c>
      <c r="F28" s="14">
        <v>26</v>
      </c>
      <c r="G28" s="14">
        <f t="shared" si="1"/>
        <v>30333.333333333336</v>
      </c>
      <c r="H28" s="15">
        <v>0</v>
      </c>
      <c r="I28" s="15">
        <v>200</v>
      </c>
      <c r="J28" s="15">
        <v>0</v>
      </c>
      <c r="K28" s="15">
        <v>0</v>
      </c>
      <c r="L28" s="15">
        <v>0</v>
      </c>
      <c r="M28" s="15">
        <f>+E28*2</f>
        <v>2333.3333333333335</v>
      </c>
      <c r="N28" s="15">
        <f t="shared" si="2"/>
        <v>27800.000000000004</v>
      </c>
      <c r="O28" s="26"/>
      <c r="P28" s="18"/>
      <c r="Q28" s="18"/>
      <c r="R28" s="18"/>
      <c r="S28" s="18"/>
      <c r="T28" s="18"/>
    </row>
    <row r="29" spans="1:21" s="19" customFormat="1" ht="15.75" x14ac:dyDescent="0.25">
      <c r="A29" s="17">
        <v>26</v>
      </c>
      <c r="B29" s="13" t="s">
        <v>53</v>
      </c>
      <c r="C29" s="13" t="s">
        <v>20</v>
      </c>
      <c r="D29" s="14">
        <v>35000</v>
      </c>
      <c r="E29" s="14">
        <f t="shared" si="0"/>
        <v>1166.6666666666667</v>
      </c>
      <c r="F29" s="14">
        <v>26</v>
      </c>
      <c r="G29" s="14">
        <f t="shared" si="1"/>
        <v>30333.333333333336</v>
      </c>
      <c r="H29" s="15">
        <v>0</v>
      </c>
      <c r="I29" s="15">
        <v>200</v>
      </c>
      <c r="J29" s="15">
        <v>0</v>
      </c>
      <c r="K29" s="15">
        <v>0</v>
      </c>
      <c r="L29" s="15">
        <v>0</v>
      </c>
      <c r="M29" s="15">
        <f>+E29*6</f>
        <v>7000</v>
      </c>
      <c r="N29" s="15">
        <f t="shared" si="2"/>
        <v>23133.333333333336</v>
      </c>
      <c r="O29" s="16"/>
      <c r="P29" s="18"/>
      <c r="Q29" s="18"/>
      <c r="R29" s="18"/>
      <c r="S29" s="18"/>
      <c r="T29" s="18"/>
    </row>
    <row r="30" spans="1:21" s="19" customFormat="1" ht="15.75" x14ac:dyDescent="0.25">
      <c r="A30" s="11">
        <v>27</v>
      </c>
      <c r="B30" s="27" t="s">
        <v>54</v>
      </c>
      <c r="C30" s="27" t="s">
        <v>29</v>
      </c>
      <c r="D30" s="28">
        <v>28000</v>
      </c>
      <c r="E30" s="28">
        <f t="shared" si="0"/>
        <v>933.33333333333337</v>
      </c>
      <c r="F30" s="28">
        <v>26</v>
      </c>
      <c r="G30" s="28">
        <f t="shared" si="1"/>
        <v>24266.666666666668</v>
      </c>
      <c r="H30" s="29">
        <v>829</v>
      </c>
      <c r="I30" s="29">
        <v>200</v>
      </c>
      <c r="J30" s="29">
        <v>0</v>
      </c>
      <c r="K30" s="29">
        <v>0</v>
      </c>
      <c r="L30" s="29">
        <v>0</v>
      </c>
      <c r="M30" s="29">
        <f>+E30*10</f>
        <v>9333.3333333333339</v>
      </c>
      <c r="N30" s="15">
        <f t="shared" si="2"/>
        <v>15562.333333333334</v>
      </c>
      <c r="O30" s="30"/>
      <c r="P30" s="18"/>
      <c r="Q30" s="18"/>
      <c r="R30" s="18"/>
      <c r="S30" s="18"/>
      <c r="T30" s="18"/>
    </row>
    <row r="31" spans="1:21" s="19" customFormat="1" ht="15.75" x14ac:dyDescent="0.25">
      <c r="A31" s="17">
        <v>28</v>
      </c>
      <c r="B31" s="13" t="s">
        <v>55</v>
      </c>
      <c r="C31" s="13" t="s">
        <v>20</v>
      </c>
      <c r="D31" s="14">
        <v>30000</v>
      </c>
      <c r="E31" s="14">
        <f t="shared" si="0"/>
        <v>1000</v>
      </c>
      <c r="F31" s="14">
        <v>26</v>
      </c>
      <c r="G31" s="14">
        <f t="shared" si="1"/>
        <v>26000</v>
      </c>
      <c r="H31" s="15">
        <v>0</v>
      </c>
      <c r="I31" s="15">
        <v>200</v>
      </c>
      <c r="J31" s="15">
        <v>0</v>
      </c>
      <c r="K31" s="15">
        <v>0</v>
      </c>
      <c r="L31" s="15">
        <v>0</v>
      </c>
      <c r="M31" s="15">
        <f>+E31*11</f>
        <v>11000</v>
      </c>
      <c r="N31" s="15">
        <f t="shared" si="2"/>
        <v>14800</v>
      </c>
      <c r="O31" s="16"/>
      <c r="P31" s="18"/>
      <c r="Q31" s="18"/>
      <c r="R31" s="18"/>
      <c r="S31" s="18"/>
      <c r="T31" s="18"/>
    </row>
    <row r="32" spans="1:21" s="19" customFormat="1" ht="15.75" x14ac:dyDescent="0.25">
      <c r="A32" s="11">
        <v>29</v>
      </c>
      <c r="B32" s="13" t="s">
        <v>56</v>
      </c>
      <c r="C32" s="13" t="s">
        <v>29</v>
      </c>
      <c r="D32" s="14">
        <v>30000</v>
      </c>
      <c r="E32" s="14">
        <f t="shared" si="0"/>
        <v>1000</v>
      </c>
      <c r="F32" s="14">
        <v>29.5</v>
      </c>
      <c r="G32" s="14">
        <f t="shared" si="1"/>
        <v>29500</v>
      </c>
      <c r="H32" s="15">
        <v>777</v>
      </c>
      <c r="I32" s="15">
        <v>200</v>
      </c>
      <c r="J32" s="15">
        <v>0</v>
      </c>
      <c r="K32" s="15">
        <v>0</v>
      </c>
      <c r="L32" s="15">
        <v>0</v>
      </c>
      <c r="M32" s="15">
        <f>+E32*13</f>
        <v>13000</v>
      </c>
      <c r="N32" s="15">
        <f t="shared" si="2"/>
        <v>17077</v>
      </c>
      <c r="O32" s="26"/>
      <c r="P32" s="18"/>
      <c r="Q32" s="18"/>
      <c r="R32" s="18"/>
      <c r="S32" s="18"/>
      <c r="T32" s="18"/>
    </row>
    <row r="33" spans="1:20" s="19" customFormat="1" ht="15.75" x14ac:dyDescent="0.25">
      <c r="A33" s="17">
        <v>30</v>
      </c>
      <c r="B33" s="13" t="s">
        <v>57</v>
      </c>
      <c r="C33" s="13" t="s">
        <v>20</v>
      </c>
      <c r="D33" s="14">
        <v>30000</v>
      </c>
      <c r="E33" s="14">
        <f t="shared" si="0"/>
        <v>1000</v>
      </c>
      <c r="F33" s="14">
        <v>16</v>
      </c>
      <c r="G33" s="14">
        <f t="shared" si="1"/>
        <v>16000</v>
      </c>
      <c r="H33" s="15">
        <v>0</v>
      </c>
      <c r="I33" s="15">
        <v>0</v>
      </c>
      <c r="J33" s="15">
        <v>0</v>
      </c>
      <c r="K33" s="15">
        <f>+(E33/9)*5</f>
        <v>555.55555555555554</v>
      </c>
      <c r="L33" s="15">
        <f>+E33*2</f>
        <v>2000</v>
      </c>
      <c r="M33" s="15">
        <f>+E33*15</f>
        <v>15000</v>
      </c>
      <c r="N33" s="15">
        <f t="shared" si="2"/>
        <v>-1555.5555555555547</v>
      </c>
      <c r="O33" s="16"/>
      <c r="P33" s="18"/>
      <c r="Q33" s="18"/>
      <c r="R33" s="18"/>
      <c r="S33" s="18"/>
      <c r="T33" s="18"/>
    </row>
    <row r="34" spans="1:20" s="19" customFormat="1" ht="15" customHeight="1" x14ac:dyDescent="0.25">
      <c r="A34" s="11">
        <v>31</v>
      </c>
      <c r="B34" s="13" t="s">
        <v>58</v>
      </c>
      <c r="C34" s="13" t="s">
        <v>42</v>
      </c>
      <c r="D34" s="14">
        <v>30000</v>
      </c>
      <c r="E34" s="14">
        <f t="shared" si="0"/>
        <v>1000</v>
      </c>
      <c r="F34" s="14">
        <v>25</v>
      </c>
      <c r="G34" s="14">
        <f t="shared" si="1"/>
        <v>25000</v>
      </c>
      <c r="H34" s="15">
        <v>0</v>
      </c>
      <c r="I34" s="15">
        <v>200</v>
      </c>
      <c r="J34" s="15">
        <v>0</v>
      </c>
      <c r="K34" s="15">
        <v>0</v>
      </c>
      <c r="L34" s="15">
        <v>0</v>
      </c>
      <c r="M34" s="15">
        <v>0</v>
      </c>
      <c r="N34" s="15">
        <f t="shared" si="2"/>
        <v>24800</v>
      </c>
      <c r="O34" s="16"/>
      <c r="P34" s="18"/>
      <c r="Q34" s="18"/>
      <c r="R34" s="18"/>
      <c r="S34" s="18"/>
      <c r="T34" s="18"/>
    </row>
    <row r="35" spans="1:20" s="19" customFormat="1" ht="15.75" x14ac:dyDescent="0.25">
      <c r="A35" s="17">
        <v>32</v>
      </c>
      <c r="B35" s="13" t="s">
        <v>59</v>
      </c>
      <c r="C35" s="13" t="s">
        <v>20</v>
      </c>
      <c r="D35" s="14">
        <v>25000</v>
      </c>
      <c r="E35" s="14">
        <f t="shared" si="0"/>
        <v>833.33333333333337</v>
      </c>
      <c r="F35" s="14">
        <v>26</v>
      </c>
      <c r="G35" s="14">
        <f t="shared" si="1"/>
        <v>21666.666666666668</v>
      </c>
      <c r="H35" s="15">
        <v>0</v>
      </c>
      <c r="I35" s="15">
        <v>0</v>
      </c>
      <c r="J35" s="15">
        <v>0</v>
      </c>
      <c r="K35" s="15">
        <v>555</v>
      </c>
      <c r="L35" s="15">
        <v>0</v>
      </c>
      <c r="M35" s="15">
        <f>+E35*15</f>
        <v>12500</v>
      </c>
      <c r="N35" s="15">
        <f t="shared" si="2"/>
        <v>8611.6666666666679</v>
      </c>
      <c r="O35" s="31"/>
      <c r="P35" s="18"/>
      <c r="Q35" s="18"/>
      <c r="R35" s="18"/>
      <c r="S35" s="18"/>
      <c r="T35" s="18"/>
    </row>
    <row r="36" spans="1:20" s="19" customFormat="1" ht="15" customHeight="1" x14ac:dyDescent="0.25">
      <c r="A36" s="11">
        <v>33</v>
      </c>
      <c r="B36" s="13" t="s">
        <v>60</v>
      </c>
      <c r="C36" s="13" t="s">
        <v>20</v>
      </c>
      <c r="D36" s="14">
        <v>32000</v>
      </c>
      <c r="E36" s="14">
        <f t="shared" si="0"/>
        <v>1066.6666666666667</v>
      </c>
      <c r="F36" s="14">
        <v>18</v>
      </c>
      <c r="G36" s="14">
        <f t="shared" si="1"/>
        <v>19200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f>+E36*8</f>
        <v>8533.3333333333339</v>
      </c>
      <c r="N36" s="15">
        <f t="shared" si="2"/>
        <v>10666.666666666666</v>
      </c>
      <c r="O36" s="16" t="s">
        <v>61</v>
      </c>
      <c r="P36" s="18"/>
      <c r="Q36" s="18"/>
      <c r="R36" s="18"/>
      <c r="S36" s="18"/>
      <c r="T36" s="18"/>
    </row>
    <row r="37" spans="1:20" s="19" customFormat="1" ht="15" customHeight="1" x14ac:dyDescent="0.25">
      <c r="A37" s="17">
        <v>34</v>
      </c>
      <c r="B37" s="13" t="s">
        <v>62</v>
      </c>
      <c r="C37" s="13" t="s">
        <v>20</v>
      </c>
      <c r="D37" s="14">
        <v>30000</v>
      </c>
      <c r="E37" s="14">
        <f t="shared" si="0"/>
        <v>1000</v>
      </c>
      <c r="F37" s="14">
        <v>10</v>
      </c>
      <c r="G37" s="14">
        <f t="shared" si="1"/>
        <v>10000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f>+E37*10</f>
        <v>10000</v>
      </c>
      <c r="N37" s="15">
        <f t="shared" si="2"/>
        <v>0</v>
      </c>
      <c r="O37" s="16"/>
      <c r="P37" s="18"/>
      <c r="Q37" s="18"/>
      <c r="R37" s="18"/>
      <c r="S37" s="18"/>
      <c r="T37" s="18"/>
    </row>
    <row r="38" spans="1:20" s="19" customFormat="1" ht="15" customHeight="1" x14ac:dyDescent="0.25">
      <c r="A38" s="11">
        <v>35</v>
      </c>
      <c r="B38" s="13" t="s">
        <v>63</v>
      </c>
      <c r="C38" s="13" t="s">
        <v>20</v>
      </c>
      <c r="D38" s="14">
        <v>45000</v>
      </c>
      <c r="E38" s="14">
        <f t="shared" si="0"/>
        <v>1500</v>
      </c>
      <c r="F38" s="14">
        <v>12</v>
      </c>
      <c r="G38" s="14">
        <f t="shared" si="1"/>
        <v>18000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f>+E38*12</f>
        <v>18000</v>
      </c>
      <c r="N38" s="15">
        <f t="shared" si="2"/>
        <v>0</v>
      </c>
      <c r="O38" s="16"/>
      <c r="P38" s="18"/>
      <c r="Q38" s="18"/>
      <c r="R38" s="18"/>
      <c r="S38" s="18"/>
      <c r="T38" s="18"/>
    </row>
    <row r="39" spans="1:20" s="19" customFormat="1" ht="15.75" x14ac:dyDescent="0.25">
      <c r="A39" s="17">
        <v>36</v>
      </c>
      <c r="B39" s="13" t="s">
        <v>64</v>
      </c>
      <c r="C39" s="13" t="s">
        <v>35</v>
      </c>
      <c r="D39" s="14">
        <v>16000</v>
      </c>
      <c r="E39" s="14">
        <f t="shared" si="0"/>
        <v>533.33333333333337</v>
      </c>
      <c r="F39" s="32">
        <v>26</v>
      </c>
      <c r="G39" s="14">
        <f t="shared" si="1"/>
        <v>13866.666666666668</v>
      </c>
      <c r="H39" s="15">
        <v>0</v>
      </c>
      <c r="I39" s="15">
        <v>200</v>
      </c>
      <c r="J39" s="15">
        <v>120</v>
      </c>
      <c r="K39" s="15">
        <v>0</v>
      </c>
      <c r="L39" s="15">
        <v>0</v>
      </c>
      <c r="M39" s="15">
        <v>0</v>
      </c>
      <c r="N39" s="15">
        <f t="shared" si="2"/>
        <v>13546.666666666668</v>
      </c>
      <c r="O39" s="16" t="s">
        <v>65</v>
      </c>
      <c r="P39" s="18"/>
      <c r="Q39" s="18"/>
      <c r="R39" s="18"/>
      <c r="S39" s="18"/>
      <c r="T39" s="18"/>
    </row>
    <row r="40" spans="1:20" s="19" customFormat="1" ht="15.75" x14ac:dyDescent="0.25">
      <c r="A40" s="11">
        <v>37</v>
      </c>
      <c r="B40" s="13" t="s">
        <v>66</v>
      </c>
      <c r="C40" s="13" t="s">
        <v>67</v>
      </c>
      <c r="D40" s="14">
        <v>55000</v>
      </c>
      <c r="E40" s="14">
        <f t="shared" si="0"/>
        <v>1833.3333333333333</v>
      </c>
      <c r="F40" s="14">
        <v>26</v>
      </c>
      <c r="G40" s="14">
        <f t="shared" si="1"/>
        <v>47666.666666666664</v>
      </c>
      <c r="H40" s="15">
        <v>0</v>
      </c>
      <c r="I40" s="15">
        <v>200</v>
      </c>
      <c r="J40" s="15">
        <v>0</v>
      </c>
      <c r="K40" s="15">
        <v>0</v>
      </c>
      <c r="L40" s="15">
        <v>0</v>
      </c>
      <c r="M40" s="15">
        <v>0</v>
      </c>
      <c r="N40" s="15">
        <f t="shared" si="2"/>
        <v>47466.666666666664</v>
      </c>
      <c r="O40" s="16"/>
      <c r="P40" s="18"/>
      <c r="Q40" s="18"/>
      <c r="R40" s="18"/>
      <c r="S40" s="18"/>
      <c r="T40" s="18"/>
    </row>
    <row r="41" spans="1:20" s="19" customFormat="1" ht="15.75" x14ac:dyDescent="0.25">
      <c r="A41" s="17">
        <v>38</v>
      </c>
      <c r="B41" s="12" t="s">
        <v>68</v>
      </c>
      <c r="C41" s="13" t="s">
        <v>20</v>
      </c>
      <c r="D41" s="14">
        <v>30000</v>
      </c>
      <c r="E41" s="14">
        <f t="shared" si="0"/>
        <v>1000</v>
      </c>
      <c r="F41" s="14">
        <v>26</v>
      </c>
      <c r="G41" s="14">
        <f t="shared" si="1"/>
        <v>26000</v>
      </c>
      <c r="H41" s="15">
        <f>+(E41/9)*4</f>
        <v>444.44444444444446</v>
      </c>
      <c r="I41" s="15">
        <v>200</v>
      </c>
      <c r="J41" s="15">
        <v>0</v>
      </c>
      <c r="K41" s="15">
        <v>0</v>
      </c>
      <c r="L41" s="15">
        <f>+E41*3</f>
        <v>3000</v>
      </c>
      <c r="M41" s="15">
        <v>0</v>
      </c>
      <c r="N41" s="15">
        <f t="shared" si="2"/>
        <v>23244.444444444445</v>
      </c>
      <c r="O41" s="26">
        <f>+N41+200</f>
        <v>23444.444444444445</v>
      </c>
      <c r="P41" s="18"/>
      <c r="Q41" s="18"/>
      <c r="R41" s="18"/>
      <c r="S41" s="18"/>
      <c r="T41" s="18"/>
    </row>
    <row r="42" spans="1:20" s="19" customFormat="1" ht="15.75" x14ac:dyDescent="0.25">
      <c r="A42" s="11">
        <v>39</v>
      </c>
      <c r="B42" s="13" t="s">
        <v>69</v>
      </c>
      <c r="C42" s="13" t="s">
        <v>31</v>
      </c>
      <c r="D42" s="14">
        <v>55000</v>
      </c>
      <c r="E42" s="14">
        <f t="shared" si="0"/>
        <v>1833.3333333333333</v>
      </c>
      <c r="F42" s="14">
        <v>29</v>
      </c>
      <c r="G42" s="14">
        <f t="shared" si="1"/>
        <v>53166.666666666664</v>
      </c>
      <c r="H42" s="15">
        <v>0</v>
      </c>
      <c r="I42" s="15">
        <v>200</v>
      </c>
      <c r="J42" s="15">
        <v>0</v>
      </c>
      <c r="K42" s="15">
        <f>+(E42/9)*16</f>
        <v>3259.2592592592591</v>
      </c>
      <c r="L42" s="15">
        <v>0</v>
      </c>
      <c r="M42" s="15">
        <v>0</v>
      </c>
      <c r="N42" s="15">
        <f t="shared" si="2"/>
        <v>49707.407407407401</v>
      </c>
      <c r="O42" s="26">
        <f>+N42+200</f>
        <v>49907.407407407401</v>
      </c>
      <c r="P42" s="18"/>
      <c r="Q42" s="18"/>
      <c r="R42" s="18"/>
      <c r="S42" s="18"/>
      <c r="T42" s="18"/>
    </row>
    <row r="43" spans="1:20" s="19" customFormat="1" ht="17.25" customHeight="1" x14ac:dyDescent="0.25">
      <c r="A43" s="17">
        <v>40</v>
      </c>
      <c r="B43" s="13" t="s">
        <v>70</v>
      </c>
      <c r="C43" s="13" t="s">
        <v>20</v>
      </c>
      <c r="D43" s="14">
        <v>43000</v>
      </c>
      <c r="E43" s="14">
        <f t="shared" si="0"/>
        <v>1433.3333333333333</v>
      </c>
      <c r="F43" s="28">
        <v>28.5</v>
      </c>
      <c r="G43" s="14">
        <f t="shared" si="1"/>
        <v>40850</v>
      </c>
      <c r="H43" s="15">
        <v>0</v>
      </c>
      <c r="I43" s="15">
        <v>200</v>
      </c>
      <c r="J43" s="15">
        <v>0</v>
      </c>
      <c r="K43" s="15">
        <v>0</v>
      </c>
      <c r="L43" s="15">
        <v>0</v>
      </c>
      <c r="M43" s="15">
        <v>0</v>
      </c>
      <c r="N43" s="15">
        <f t="shared" si="2"/>
        <v>40650</v>
      </c>
      <c r="O43" s="16"/>
      <c r="P43" s="18"/>
      <c r="Q43" s="18"/>
      <c r="R43" s="18"/>
      <c r="T43" s="18"/>
    </row>
    <row r="44" spans="1:20" s="19" customFormat="1" ht="15.75" x14ac:dyDescent="0.25">
      <c r="A44" s="11">
        <v>41</v>
      </c>
      <c r="B44" s="13" t="s">
        <v>71</v>
      </c>
      <c r="C44" s="13" t="s">
        <v>35</v>
      </c>
      <c r="D44" s="14">
        <v>16000</v>
      </c>
      <c r="E44" s="14">
        <f t="shared" si="0"/>
        <v>533.33333333333337</v>
      </c>
      <c r="F44" s="32">
        <v>12</v>
      </c>
      <c r="G44" s="14">
        <f t="shared" si="1"/>
        <v>6400</v>
      </c>
      <c r="H44" s="15">
        <v>0</v>
      </c>
      <c r="I44" s="15">
        <v>200</v>
      </c>
      <c r="J44" s="15">
        <v>120</v>
      </c>
      <c r="K44" s="15">
        <v>0</v>
      </c>
      <c r="L44" s="15">
        <v>1500</v>
      </c>
      <c r="M44" s="15">
        <v>0</v>
      </c>
      <c r="N44" s="15">
        <f>+G44+H44-I44-J44-K44-L44-M44</f>
        <v>4580</v>
      </c>
      <c r="O44" s="16" t="s">
        <v>72</v>
      </c>
      <c r="P44" s="18"/>
      <c r="Q44" s="18"/>
      <c r="R44" s="18"/>
      <c r="S44" s="18"/>
      <c r="T44" s="18"/>
    </row>
    <row r="45" spans="1:20" s="1" customFormat="1" ht="15" customHeight="1" x14ac:dyDescent="0.25">
      <c r="A45" s="12"/>
      <c r="B45" s="33"/>
      <c r="C45" s="34"/>
      <c r="D45" s="35">
        <f>SUM(D4:D44)</f>
        <v>1506000</v>
      </c>
      <c r="E45" s="35">
        <f t="shared" ref="E45:O45" si="4">SUM(E4:E44)</f>
        <v>50200.000000000015</v>
      </c>
      <c r="F45" s="35">
        <f t="shared" si="4"/>
        <v>1007</v>
      </c>
      <c r="G45" s="35">
        <f t="shared" si="4"/>
        <v>1224233.3333333337</v>
      </c>
      <c r="H45" s="35">
        <f t="shared" si="4"/>
        <v>5789.333333333333</v>
      </c>
      <c r="I45" s="35">
        <f t="shared" si="4"/>
        <v>6000</v>
      </c>
      <c r="J45" s="35">
        <f t="shared" si="4"/>
        <v>459</v>
      </c>
      <c r="K45" s="35">
        <f t="shared" si="4"/>
        <v>15929.074074074073</v>
      </c>
      <c r="L45" s="35">
        <f t="shared" si="4"/>
        <v>32775</v>
      </c>
      <c r="M45" s="35">
        <f t="shared" si="4"/>
        <v>106700</v>
      </c>
      <c r="N45" s="35">
        <f t="shared" si="4"/>
        <v>1068159.5925925928</v>
      </c>
      <c r="O45" s="35">
        <f t="shared" si="4"/>
        <v>108286.51851851851</v>
      </c>
      <c r="P45" s="4"/>
      <c r="Q45" s="4"/>
      <c r="R45" s="4"/>
      <c r="S45" s="4"/>
      <c r="T45" s="4"/>
    </row>
    <row r="46" spans="1:20" x14ac:dyDescent="0.25">
      <c r="F46" s="25"/>
      <c r="J46" s="36"/>
    </row>
    <row r="47" spans="1:20" ht="15" customHeight="1" x14ac:dyDescent="0.25">
      <c r="C47" s="37"/>
      <c r="D47" s="38"/>
      <c r="E47" s="39"/>
      <c r="F47" s="38"/>
      <c r="G47" s="40"/>
      <c r="H47" s="41"/>
      <c r="I47" s="41"/>
      <c r="J47" s="41"/>
      <c r="K47" s="41"/>
      <c r="L47" s="41"/>
      <c r="M47" s="41"/>
      <c r="N47" s="41"/>
    </row>
    <row r="48" spans="1:20" x14ac:dyDescent="0.25">
      <c r="F48" s="42"/>
      <c r="G48" s="42"/>
      <c r="H48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2026-08-26T08:04:28Z</dcterms:created>
  <dcterms:modified xsi:type="dcterms:W3CDTF">2026-08-26T08:04:47Z</dcterms:modified>
</cp:coreProperties>
</file>